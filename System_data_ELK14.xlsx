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matiaskv_ntnu_no/Documents/Documents/NTNU/Methods and algorithms for power systems/Assignments/"/>
    </mc:Choice>
  </mc:AlternateContent>
  <xr:revisionPtr revIDLastSave="39" documentId="8_{88745511-0191-4EE6-B74A-A3E4DDF5293D}" xr6:coauthVersionLast="45" xr6:coauthVersionMax="45" xr10:uidLastSave="{10DE2770-007B-47BB-B35D-5407DF135842}"/>
  <bookViews>
    <workbookView xWindow="810" yWindow="-120" windowWidth="28110" windowHeight="16440" tabRatio="549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2" l="1"/>
</calcChain>
</file>

<file path=xl/sharedStrings.xml><?xml version="1.0" encoding="utf-8"?>
<sst xmlns="http://schemas.openxmlformats.org/spreadsheetml/2006/main" count="19" uniqueCount="19">
  <si>
    <t>From Line</t>
  </si>
  <si>
    <t>To Line</t>
  </si>
  <si>
    <t>Bus Num</t>
  </si>
  <si>
    <t>BusType</t>
  </si>
  <si>
    <t>Angle [rad]</t>
  </si>
  <si>
    <t>R [pu]</t>
  </si>
  <si>
    <t>X [pu]</t>
  </si>
  <si>
    <t xml:space="preserve">S_base [MVA] </t>
  </si>
  <si>
    <t>V_base</t>
  </si>
  <si>
    <t>Z_base</t>
  </si>
  <si>
    <t>V [pu]</t>
  </si>
  <si>
    <t>P [pu]</t>
  </si>
  <si>
    <t>Q [pu]</t>
  </si>
  <si>
    <t>P_max [pu]</t>
  </si>
  <si>
    <t>Q_max [pu]</t>
  </si>
  <si>
    <t>Slack</t>
  </si>
  <si>
    <t>PV</t>
  </si>
  <si>
    <t>PQ</t>
  </si>
  <si>
    <t>B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</si>
</sst>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N23"/>
  <sheetViews>
    <sheetView zoomScaleNormal="100" workbookViewId="0">
      <selection activeCell="D4" sqref="D4"/>
    </sheetView>
  </sheetViews>
  <sheetFormatPr baseColWidth="10" defaultColWidth="11.5703125" defaultRowHeight="15" x14ac:dyDescent="0.25"/>
  <cols>
    <col min="5" max="5" width="12.85546875" customWidth="1"/>
    <col min="9" max="9" width="17.14062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6</v>
      </c>
      <c r="E1" t="s">
        <v>18</v>
      </c>
    </row>
    <row r="2" spans="1:14" x14ac:dyDescent="0.25">
      <c r="A2">
        <v>1</v>
      </c>
      <c r="B2">
        <v>2</v>
      </c>
      <c r="C2" s="6">
        <v>0.1</v>
      </c>
      <c r="D2" s="6">
        <v>0.2</v>
      </c>
      <c r="E2" s="1">
        <v>0</v>
      </c>
      <c r="F2" s="1"/>
      <c r="G2" s="1"/>
      <c r="H2" s="1"/>
      <c r="I2" s="1"/>
      <c r="J2" s="1"/>
      <c r="K2" s="1"/>
      <c r="L2" s="3"/>
      <c r="M2" s="3"/>
      <c r="N2" s="1"/>
    </row>
    <row r="3" spans="1:14" x14ac:dyDescent="0.25">
      <c r="A3">
        <v>1</v>
      </c>
      <c r="B3">
        <v>3</v>
      </c>
      <c r="C3" s="6">
        <v>0.05</v>
      </c>
      <c r="D3" s="6">
        <v>0.25</v>
      </c>
      <c r="E3">
        <v>0</v>
      </c>
      <c r="L3" s="3"/>
      <c r="M3" s="3"/>
    </row>
    <row r="4" spans="1:14" x14ac:dyDescent="0.25">
      <c r="A4">
        <v>2</v>
      </c>
      <c r="B4">
        <v>3</v>
      </c>
      <c r="C4" s="6">
        <v>0.05</v>
      </c>
      <c r="D4" s="6">
        <v>0.15</v>
      </c>
      <c r="E4" s="1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C5" s="6"/>
      <c r="D5" s="6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C7" s="5"/>
      <c r="D7" s="5"/>
      <c r="E7" s="1"/>
    </row>
    <row r="14" spans="1:14" x14ac:dyDescent="0.25">
      <c r="C14" s="4"/>
      <c r="D14" s="4"/>
    </row>
    <row r="15" spans="1:14" x14ac:dyDescent="0.25">
      <c r="C15" s="4"/>
      <c r="D15" s="4"/>
    </row>
    <row r="16" spans="1:1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O9"/>
  <sheetViews>
    <sheetView tabSelected="1" workbookViewId="0">
      <selection activeCell="E4" sqref="E4"/>
    </sheetView>
  </sheetViews>
  <sheetFormatPr baseColWidth="10" defaultColWidth="11.5703125" defaultRowHeight="15" x14ac:dyDescent="0.25"/>
  <cols>
    <col min="11" max="11" width="12.140625" bestFit="1" customWidth="1"/>
    <col min="14" max="14" width="12.5703125" bestFit="1" customWidth="1"/>
  </cols>
  <sheetData>
    <row r="1" spans="1:15" x14ac:dyDescent="0.25">
      <c r="A1" t="s">
        <v>2</v>
      </c>
      <c r="B1" t="s">
        <v>3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K1" t="s">
        <v>7</v>
      </c>
      <c r="L1" t="s">
        <v>8</v>
      </c>
      <c r="N1" t="s">
        <v>15</v>
      </c>
      <c r="O1">
        <v>0</v>
      </c>
    </row>
    <row r="2" spans="1:15" x14ac:dyDescent="0.25">
      <c r="A2">
        <v>1</v>
      </c>
      <c r="B2">
        <v>2</v>
      </c>
      <c r="C2" s="1">
        <v>1</v>
      </c>
      <c r="D2" s="2">
        <v>0</v>
      </c>
      <c r="E2" s="7">
        <v>-0.8</v>
      </c>
      <c r="F2" s="7">
        <v>-0.5</v>
      </c>
      <c r="G2">
        <v>100</v>
      </c>
      <c r="H2">
        <v>100</v>
      </c>
      <c r="K2">
        <v>100</v>
      </c>
      <c r="L2">
        <v>132</v>
      </c>
      <c r="N2" t="s">
        <v>16</v>
      </c>
      <c r="O2">
        <v>1</v>
      </c>
    </row>
    <row r="3" spans="1:15" x14ac:dyDescent="0.25">
      <c r="A3">
        <v>2</v>
      </c>
      <c r="B3">
        <v>2</v>
      </c>
      <c r="C3" s="1">
        <v>1</v>
      </c>
      <c r="D3" s="2">
        <v>0</v>
      </c>
      <c r="E3" s="7">
        <v>-0.4</v>
      </c>
      <c r="F3" s="7">
        <v>-0.5</v>
      </c>
      <c r="G3">
        <v>100</v>
      </c>
      <c r="H3">
        <v>100</v>
      </c>
      <c r="N3" t="s">
        <v>17</v>
      </c>
      <c r="O3">
        <v>2</v>
      </c>
    </row>
    <row r="4" spans="1:15" x14ac:dyDescent="0.25">
      <c r="A4">
        <v>3</v>
      </c>
      <c r="B4">
        <v>0</v>
      </c>
      <c r="C4" s="1">
        <v>1</v>
      </c>
      <c r="D4" s="2">
        <v>0</v>
      </c>
      <c r="E4" s="7">
        <v>0</v>
      </c>
      <c r="F4" s="7">
        <v>0</v>
      </c>
      <c r="G4">
        <v>100</v>
      </c>
      <c r="H4">
        <v>100</v>
      </c>
      <c r="K4" t="s">
        <v>9</v>
      </c>
    </row>
    <row r="5" spans="1:15" x14ac:dyDescent="0.25">
      <c r="C5" s="1"/>
      <c r="D5" s="2"/>
      <c r="E5" s="1"/>
      <c r="F5" s="1"/>
      <c r="G5" s="1"/>
      <c r="H5" s="1"/>
      <c r="K5">
        <f>L2*L2/K2</f>
        <v>174.24</v>
      </c>
    </row>
    <row r="6" spans="1:15" x14ac:dyDescent="0.25">
      <c r="C6" s="1"/>
      <c r="D6" s="2"/>
      <c r="E6" s="1"/>
      <c r="F6" s="1"/>
      <c r="G6" s="1"/>
      <c r="H6" s="1"/>
      <c r="I6" s="1"/>
    </row>
    <row r="7" spans="1:15" x14ac:dyDescent="0.25">
      <c r="D7" s="2"/>
      <c r="E7" s="1"/>
      <c r="F7" s="1"/>
      <c r="G7" s="1"/>
      <c r="H7" s="1"/>
    </row>
    <row r="8" spans="1:15" x14ac:dyDescent="0.25">
      <c r="D8" s="2"/>
      <c r="E8" s="1"/>
      <c r="F8" s="1"/>
      <c r="G8" s="1"/>
      <c r="H8" s="1"/>
    </row>
    <row r="9" spans="1:15" x14ac:dyDescent="0.25">
      <c r="D9" s="2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Kraft Vistnes</cp:lastModifiedBy>
  <dcterms:created xsi:type="dcterms:W3CDTF">2018-01-09T10:32:37Z</dcterms:created>
  <dcterms:modified xsi:type="dcterms:W3CDTF">2020-09-28T12:10:52Z</dcterms:modified>
</cp:coreProperties>
</file>